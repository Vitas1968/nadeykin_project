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645"/>
  </bookViews>
  <sheets>
    <sheet name="расчет" sheetId="4" r:id="rId1"/>
  </sheets>
  <definedNames>
    <definedName name="_xlnm.Print_Area" localSheetId="0">расчет!$A$1:$I$25</definedName>
  </definedNames>
  <calcPr calcId="162913"/>
</workbook>
</file>

<file path=xl/calcChain.xml><?xml version="1.0" encoding="utf-8"?>
<calcChain xmlns="http://schemas.openxmlformats.org/spreadsheetml/2006/main">
  <c r="H16" i="4" l="1"/>
  <c r="H17" i="4"/>
  <c r="H18" i="4"/>
  <c r="H15" i="4"/>
  <c r="H19" i="4" l="1"/>
  <c r="I18" i="4"/>
  <c r="I16" i="4" l="1"/>
  <c r="I17" i="4"/>
  <c r="I15" i="4" l="1"/>
  <c r="I19" i="4" s="1"/>
</calcChain>
</file>

<file path=xl/sharedStrings.xml><?xml version="1.0" encoding="utf-8"?>
<sst xmlns="http://schemas.openxmlformats.org/spreadsheetml/2006/main" count="36" uniqueCount="34">
  <si>
    <t>Ед. изм.</t>
  </si>
  <si>
    <t>Кол-во</t>
  </si>
  <si>
    <t>НаименованиеТовара</t>
  </si>
  <si>
    <t>Технические характеристики, размеры, сорт, чертеж, материал изготовления и т.д.</t>
  </si>
  <si>
    <t>Используемый метод определения цены</t>
  </si>
  <si>
    <t>Размер (вид) определенной НМЦД, ФЦ, ЦЕ, МЗЦД</t>
  </si>
  <si>
    <t>Информация о расходах на перевозку, страхование, уплату таможенных пошлин, налогов, предоставляемых образцов и других обязательных платажей, затрат, связанных с исполнением договора</t>
  </si>
  <si>
    <t xml:space="preserve">Обоснование-расчет </t>
  </si>
  <si>
    <t>Основные источники информации:</t>
  </si>
  <si>
    <t>информация о ценах на товары, содержащаяся в прейскурантах действующих цен на товары, прайс-листах, рекламных материалах и каталогах, в том числе размещенных на сайтах в сети Интернет;</t>
  </si>
  <si>
    <t>метод средней цены товара и метод индексации цены</t>
  </si>
  <si>
    <t xml:space="preserve"> начальной (максимальной) цены договора, являющегося предметом закупки </t>
  </si>
  <si>
    <t>Расчет НМЦД</t>
  </si>
  <si>
    <t>Расчетная цена единицы товара и договора включает в себя все расходы Участника, связанные с поставкой товара до места поставки, указанного в Приложении №1 - Техническое задание к  настоящей Документации о закупке, упаковкой (тарой), включая налоги, сборы, скидки, другие обязательные платежи и иные затраты, связанные с исполнением договора по результатам настоящей закупки</t>
  </si>
  <si>
    <t>информация о ценах товаров, содержащаяся в рекламе, каталогах, описаниях товаров и в других предложениях, обращенных к неопределенному кругу лиц, включая информацию, опубликованную в сети Интернет.</t>
  </si>
  <si>
    <t>Итого:</t>
  </si>
  <si>
    <t>«Поставка масел для нужд ООО «Щекинская ГРЭС»</t>
  </si>
  <si>
    <t>Турбинное масло</t>
  </si>
  <si>
    <t>Марка - Тп-22С (марка 1)
Вязкость кинематическая:  
при 40°С  28,8 -35,2
при 50°С  20- 23
Индекс вязкости  95
Плотность при 15°С,г/см, не более  0,903
Массовая доля серы  0,5%
Температура вспышки в открытом тигле, °С, не ниже  186°С
Температура застывания  -15°С
Стабильность против окисления при 150 °С , 16 ч. и расходе кислорода 3 дм/ч  
массовая доля осадка  0,01%
кислотное число  0,15 мг КОН/г
летучие низкомолекулярные кислоты  0,15 мг КОН/г
Кислотное число  0,04 -0,07 мг КОН/г
Цвет по колориметру ЦНТ  1,5 ед.
Время деэмульсации  180 с</t>
  </si>
  <si>
    <t>л.</t>
  </si>
  <si>
    <t>Расчетная стоимость, руб. с учетом НДС 22%</t>
  </si>
  <si>
    <t>Масло ХФ 12-16</t>
  </si>
  <si>
    <t>Вязкость кинематическая при 50°С, мм²/с 16,0 – 19,0
Плотность при 20°С, кг/м3, не более 850 - 880
Кислотное число, мг КОН на 1 г масла, не более 0,02
Массовая доля механических примесей Отсутствие</t>
  </si>
  <si>
    <t>Масло для винтовых компрессоров ScewLub</t>
  </si>
  <si>
    <t>DIN 51506VDL                   ISO 6743/3A</t>
  </si>
  <si>
    <t>канистра 10 л.</t>
  </si>
  <si>
    <t>Масло трансформаторное ГК</t>
  </si>
  <si>
    <t xml:space="preserve">Вязкость кинематическая, мм2/с:
при 50°С  9
при −30°С  1200
Кислотное число, мг КОН/г, не более 0,01
Температура, °С:
вспышки в закрытом тигле, не ниже135
застывания, не выше-45
Содержание механических примесей отсутствие
Стабильность, показатели после окисления,неболее:осадок, %0,015
летучие низкомолекулярные кислоты мг КОН/г0,004кислотное число, мг КОН/г0,1
Цвет ед. ЦНТ, не более 1
Стабильность по методу МЭК, индукционный период, ч, не менее 150
Плотность при °С, кг/м3, не более 895
Тангенс угла диэлектрических потерь при 90°С, %, не более 0,5
Коррозия на медной пластинке выдерживает
Условия окисления при определении стабильности по методу ГОСТ 981-75:
температура, °С155
длительность, ч14
расход кислорода, мл/мин50
</t>
  </si>
  <si>
    <t>12 417 117.71 руб. с учетом НДС (10 177 965.33руб. без учета НДС)</t>
  </si>
  <si>
    <t>Цена Источника 1 за ед. изм., руб. без учета НДС</t>
  </si>
  <si>
    <t>Цена Источника 2 за ед. изм., руб. без учета НДС</t>
  </si>
  <si>
    <t>Цена Источника 3 за ед. изм., руб. без учета НДС</t>
  </si>
  <si>
    <t>Расчетная стоимость, руб. без учета НДС</t>
  </si>
  <si>
    <t>Приложение 3 к Документации о закупке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</si>
</sst>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u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4" fontId="3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" fontId="0" fillId="0" borderId="0" xfId="0" applyNumberFormat="1"/>
    <xf numFmtId="4" fontId="2" fillId="0" borderId="0" xfId="0" applyNumberFormat="1" applyFont="1"/>
    <xf numFmtId="4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/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M22"/>
  <sheetViews>
    <sheetView tabSelected="1" view="pageBreakPreview" zoomScale="68" zoomScaleNormal="100" zoomScaleSheetLayoutView="68" workbookViewId="0">
      <selection activeCell="A2" sqref="A2:I2"/>
    </sheetView>
  </sheetViews>
  <sheetFormatPr defaultRowHeight="15.75" x14ac:dyDescent="0.25"/>
  <cols>
    <col min="1" max="1" width="61" style="4" customWidth="1"/>
    <col min="2" max="2" width="68.5703125" style="4" customWidth="1"/>
    <col min="3" max="3" width="12.42578125" style="4" customWidth="1"/>
    <col min="4" max="4" width="12.5703125" style="4" customWidth="1"/>
    <col min="5" max="5" width="15" style="4" customWidth="1"/>
    <col min="6" max="6" width="14.28515625" style="4" customWidth="1"/>
    <col min="7" max="7" width="16" style="4" customWidth="1"/>
    <col min="8" max="8" width="18.7109375" style="4" customWidth="1"/>
    <col min="9" max="9" width="18.7109375" style="5" customWidth="1"/>
    <col min="10" max="10" width="11.42578125" style="2" customWidth="1"/>
    <col min="11" max="11" width="10.5703125" bestFit="1" customWidth="1"/>
    <col min="12" max="12" width="16.42578125" style="18" customWidth="1"/>
    <col min="13" max="13" width="12.5703125" bestFit="1" customWidth="1"/>
  </cols>
  <sheetData>
    <row r="1" spans="1:13" ht="41.25" customHeight="1" x14ac:dyDescent="0.25">
      <c r="A1" s="10"/>
      <c r="B1" s="10"/>
      <c r="C1" s="22"/>
      <c r="D1" s="22"/>
      <c r="E1" s="11"/>
      <c r="F1" s="11"/>
      <c r="G1" s="22" t="s">
        <v>33</v>
      </c>
      <c r="H1" s="30"/>
      <c r="I1" s="30"/>
    </row>
    <row r="2" spans="1:13" ht="23.25" customHeight="1" x14ac:dyDescent="0.25">
      <c r="A2" s="24" t="s">
        <v>7</v>
      </c>
      <c r="B2" s="24"/>
      <c r="C2" s="24"/>
      <c r="D2" s="24"/>
      <c r="E2" s="24"/>
      <c r="F2" s="24"/>
      <c r="G2" s="24"/>
      <c r="H2" s="24"/>
      <c r="I2" s="24"/>
    </row>
    <row r="3" spans="1:13" ht="22.5" customHeight="1" x14ac:dyDescent="0.25">
      <c r="A3" s="23" t="s">
        <v>11</v>
      </c>
      <c r="B3" s="23"/>
      <c r="C3" s="23"/>
      <c r="D3" s="23"/>
      <c r="E3" s="23"/>
      <c r="F3" s="23"/>
      <c r="G3" s="23"/>
      <c r="H3" s="23"/>
      <c r="I3" s="23"/>
    </row>
    <row r="4" spans="1:13" ht="23.25" customHeight="1" x14ac:dyDescent="0.25">
      <c r="A4" s="21" t="s">
        <v>16</v>
      </c>
      <c r="B4" s="21"/>
      <c r="C4" s="21"/>
      <c r="D4" s="21"/>
      <c r="E4" s="21"/>
      <c r="F4" s="21"/>
      <c r="G4" s="21"/>
      <c r="H4" s="21"/>
      <c r="I4" s="21"/>
    </row>
    <row r="5" spans="1:13" ht="35.25" customHeight="1" x14ac:dyDescent="0.25">
      <c r="A5" s="7"/>
      <c r="B5" s="7"/>
      <c r="C5" s="7"/>
      <c r="D5" s="7"/>
      <c r="E5" s="7"/>
      <c r="F5" s="7"/>
      <c r="G5" s="7"/>
      <c r="H5" s="7"/>
      <c r="I5" s="7"/>
    </row>
    <row r="6" spans="1:13" ht="41.25" customHeight="1" x14ac:dyDescent="0.25">
      <c r="A6" s="27" t="s">
        <v>4</v>
      </c>
      <c r="B6" s="27"/>
      <c r="C6" s="27"/>
      <c r="D6" s="27"/>
      <c r="E6" s="27"/>
      <c r="F6" s="26" t="s">
        <v>10</v>
      </c>
      <c r="G6" s="26"/>
      <c r="H6" s="26"/>
      <c r="I6" s="26"/>
    </row>
    <row r="7" spans="1:13" ht="42" customHeight="1" x14ac:dyDescent="0.25">
      <c r="A7" s="27" t="s">
        <v>5</v>
      </c>
      <c r="B7" s="27"/>
      <c r="C7" s="27"/>
      <c r="D7" s="27"/>
      <c r="E7" s="27"/>
      <c r="F7" s="26" t="s">
        <v>28</v>
      </c>
      <c r="G7" s="26"/>
      <c r="H7" s="26"/>
      <c r="I7" s="26"/>
    </row>
    <row r="8" spans="1:13" ht="91.5" customHeight="1" x14ac:dyDescent="0.25">
      <c r="A8" s="27" t="s">
        <v>6</v>
      </c>
      <c r="B8" s="27"/>
      <c r="C8" s="27"/>
      <c r="D8" s="27"/>
      <c r="E8" s="27"/>
      <c r="F8" s="26" t="s">
        <v>13</v>
      </c>
      <c r="G8" s="26"/>
      <c r="H8" s="26"/>
      <c r="I8" s="26"/>
    </row>
    <row r="9" spans="1:13" ht="21" customHeight="1" x14ac:dyDescent="0.25">
      <c r="A9" s="8"/>
      <c r="B9" s="8"/>
      <c r="C9" s="8"/>
      <c r="D9" s="8"/>
      <c r="E9" s="8"/>
      <c r="F9" s="8"/>
      <c r="G9" s="8"/>
      <c r="H9" s="8"/>
      <c r="I9" s="8"/>
    </row>
    <row r="10" spans="1:13" ht="18" customHeight="1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13" ht="15.75" customHeight="1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13" ht="30" customHeight="1" x14ac:dyDescent="0.25">
      <c r="A12" s="28" t="s">
        <v>12</v>
      </c>
      <c r="B12" s="28"/>
      <c r="C12" s="28"/>
      <c r="D12" s="28"/>
      <c r="E12" s="28"/>
      <c r="F12" s="28"/>
      <c r="G12" s="28"/>
      <c r="H12" s="28"/>
      <c r="I12" s="28"/>
    </row>
    <row r="13" spans="1:13" ht="12" customHeight="1" x14ac:dyDescent="0.25"/>
    <row r="14" spans="1:13" s="1" customFormat="1" ht="113.25" customHeight="1" x14ac:dyDescent="0.25">
      <c r="A14" s="12" t="s">
        <v>2</v>
      </c>
      <c r="B14" s="12" t="s">
        <v>3</v>
      </c>
      <c r="C14" s="13" t="s">
        <v>0</v>
      </c>
      <c r="D14" s="13" t="s">
        <v>1</v>
      </c>
      <c r="E14" s="13" t="s">
        <v>29</v>
      </c>
      <c r="F14" s="13" t="s">
        <v>30</v>
      </c>
      <c r="G14" s="13" t="s">
        <v>31</v>
      </c>
      <c r="H14" s="13" t="s">
        <v>32</v>
      </c>
      <c r="I14" s="13" t="s">
        <v>20</v>
      </c>
      <c r="J14" s="3"/>
      <c r="L14" s="19"/>
    </row>
    <row r="15" spans="1:13" s="1" customFormat="1" ht="264" customHeight="1" x14ac:dyDescent="0.25">
      <c r="A15" s="9" t="s">
        <v>17</v>
      </c>
      <c r="B15" s="15" t="s">
        <v>18</v>
      </c>
      <c r="C15" s="13" t="s">
        <v>19</v>
      </c>
      <c r="D15" s="13">
        <v>35000</v>
      </c>
      <c r="E15" s="20">
        <v>140.97</v>
      </c>
      <c r="F15" s="20">
        <v>163.72999999999999</v>
      </c>
      <c r="G15" s="20">
        <v>106.85</v>
      </c>
      <c r="H15" s="20">
        <f>AVERAGE(E15:G15)*D15</f>
        <v>4801416.666666666</v>
      </c>
      <c r="I15" s="20">
        <f>H15*1.22</f>
        <v>5857728.3333333321</v>
      </c>
      <c r="J15" s="3"/>
      <c r="L15" s="19"/>
      <c r="M15" s="19"/>
    </row>
    <row r="16" spans="1:13" s="1" customFormat="1" ht="81" customHeight="1" x14ac:dyDescent="0.25">
      <c r="A16" s="9" t="s">
        <v>21</v>
      </c>
      <c r="B16" s="15" t="s">
        <v>22</v>
      </c>
      <c r="C16" s="13" t="s">
        <v>19</v>
      </c>
      <c r="D16" s="13">
        <v>600</v>
      </c>
      <c r="E16" s="20">
        <v>203.41</v>
      </c>
      <c r="F16" s="20">
        <v>325</v>
      </c>
      <c r="G16" s="20">
        <v>360</v>
      </c>
      <c r="H16" s="20">
        <f t="shared" ref="H16:H18" si="0">AVERAGE(E16:G16)*D16</f>
        <v>177682</v>
      </c>
      <c r="I16" s="20">
        <f t="shared" ref="I16:I17" si="1">H16*1.22</f>
        <v>216772.04</v>
      </c>
      <c r="J16" s="3"/>
      <c r="L16" s="19"/>
      <c r="M16" s="19"/>
    </row>
    <row r="17" spans="1:13" s="1" customFormat="1" ht="33.75" customHeight="1" x14ac:dyDescent="0.25">
      <c r="A17" s="15" t="s">
        <v>23</v>
      </c>
      <c r="B17" s="15" t="s">
        <v>24</v>
      </c>
      <c r="C17" s="16" t="s">
        <v>25</v>
      </c>
      <c r="D17" s="13">
        <v>10</v>
      </c>
      <c r="E17" s="20">
        <v>12788</v>
      </c>
      <c r="F17" s="20">
        <v>13011</v>
      </c>
      <c r="G17" s="20">
        <v>12361</v>
      </c>
      <c r="H17" s="20">
        <f t="shared" si="0"/>
        <v>127200</v>
      </c>
      <c r="I17" s="20">
        <f t="shared" si="1"/>
        <v>155184</v>
      </c>
      <c r="J17" s="3"/>
      <c r="L17" s="19"/>
      <c r="M17" s="19"/>
    </row>
    <row r="18" spans="1:13" s="1" customFormat="1" ht="357.75" customHeight="1" x14ac:dyDescent="0.25">
      <c r="A18" s="17" t="s">
        <v>26</v>
      </c>
      <c r="B18" s="15" t="s">
        <v>27</v>
      </c>
      <c r="C18" s="16" t="s">
        <v>19</v>
      </c>
      <c r="D18" s="13">
        <v>25000</v>
      </c>
      <c r="E18" s="20">
        <v>208.35</v>
      </c>
      <c r="F18" s="20">
        <v>202.42</v>
      </c>
      <c r="G18" s="20">
        <v>197.83</v>
      </c>
      <c r="H18" s="20">
        <f t="shared" si="0"/>
        <v>5071666.666666667</v>
      </c>
      <c r="I18" s="20">
        <f t="shared" ref="I18" si="2">H18*1.22</f>
        <v>6187433.333333334</v>
      </c>
      <c r="J18" s="3"/>
      <c r="L18" s="19"/>
      <c r="M18" s="19"/>
    </row>
    <row r="19" spans="1:13" x14ac:dyDescent="0.25">
      <c r="G19" s="4" t="s">
        <v>15</v>
      </c>
      <c r="H19" s="14">
        <f>SUM(H15:H18)</f>
        <v>10177965.333333332</v>
      </c>
      <c r="I19" s="5">
        <f>SUM(I15:I18)</f>
        <v>12417117.706666667</v>
      </c>
      <c r="M19" s="18"/>
    </row>
    <row r="20" spans="1:13" ht="36.75" customHeight="1" x14ac:dyDescent="0.25">
      <c r="A20" s="6" t="s">
        <v>8</v>
      </c>
      <c r="B20" s="25" t="s">
        <v>9</v>
      </c>
      <c r="C20" s="25"/>
      <c r="D20" s="25"/>
      <c r="E20" s="25"/>
      <c r="F20" s="25"/>
      <c r="G20" s="25"/>
      <c r="H20" s="25"/>
      <c r="I20" s="25"/>
    </row>
    <row r="21" spans="1:13" ht="30" customHeight="1" x14ac:dyDescent="0.25">
      <c r="B21" s="25" t="s">
        <v>14</v>
      </c>
      <c r="C21" s="25"/>
      <c r="D21" s="25"/>
      <c r="E21" s="25"/>
      <c r="F21" s="25"/>
      <c r="G21" s="25"/>
      <c r="H21" s="25"/>
      <c r="I21" s="25"/>
    </row>
    <row r="22" spans="1:13" ht="18.75" customHeight="1" x14ac:dyDescent="0.25">
      <c r="B22" s="29"/>
      <c r="C22" s="29"/>
      <c r="D22" s="29"/>
      <c r="E22" s="29"/>
      <c r="F22" s="29"/>
      <c r="G22" s="29"/>
      <c r="H22" s="29"/>
      <c r="I22" s="29"/>
    </row>
  </sheetData>
  <mergeCells count="15">
    <mergeCell ref="A4:I4"/>
    <mergeCell ref="C1:D1"/>
    <mergeCell ref="A3:I3"/>
    <mergeCell ref="A2:I2"/>
    <mergeCell ref="B20:I20"/>
    <mergeCell ref="B21:I21"/>
    <mergeCell ref="F6:I6"/>
    <mergeCell ref="F7:I7"/>
    <mergeCell ref="F8:I8"/>
    <mergeCell ref="A8:E8"/>
    <mergeCell ref="A7:E7"/>
    <mergeCell ref="A6:E6"/>
    <mergeCell ref="A12:I12"/>
    <mergeCell ref="B22:I22"/>
    <mergeCell ref="G1:I1"/>
  </mergeCells>
  <pageMargins left="0.31496062992125984" right="0.31496062992125984" top="0.78740157480314965" bottom="0.55118110236220474" header="0.31496062992125984" footer="0.31496062992125984"/>
  <pageSetup paperSize="9" scale="5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расчет!Область_печати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2026-06-16T10:05:07Z</dcterms:modified>
</cp:coreProperties>
</file>